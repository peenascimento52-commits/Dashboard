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n\Downloads\"/>
    </mc:Choice>
  </mc:AlternateContent>
  <xr:revisionPtr revIDLastSave="0" documentId="13_ncr:1_{44E6B031-C308-46D3-9BD7-60AB85603FAB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D23" i="3"/>
</calcChain>
</file>

<file path=xl/sharedStrings.xml><?xml version="1.0" encoding="utf-8"?>
<sst xmlns="http://schemas.openxmlformats.org/spreadsheetml/2006/main" count="2017" uniqueCount="323">
  <si>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</si>
  <si>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</si>
  <si>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</si>
  <si>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</si>
  <si>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</si>
  <si>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</si>
  <si>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</si>
  <si>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</si>
  <si>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</si>
  <si>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</si>
  <si>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</si>
  <si>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</si>
  <si>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</si>
  <si>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</si>
  <si>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</si>
  <si>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</si>
  <si>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</si>
  <si>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</si>
  <si>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</si>
  <si>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</si>
  <si>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</si>
  <si>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</si>
  <si>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</si>
  <si>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</si>
  <si>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</si>
  <si>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</si>
  <si>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</si>
  <si>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</si>
  <si>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</si>
  <si>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</si>
  <si>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</si>
  <si>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</si>
  <si>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</si>
  <si>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</si>
  <si>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</si>
  <si>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</si>
  <si>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</si>
  <si>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</si>
  <si>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</si>
  <si>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</si>
  <si>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</si>
  <si>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</si>
  <si>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</si>
  <si>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</si>
  <si>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</si>
  <si>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</si>
  <si>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</si>
  <si>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</si>
  <si>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</si>
  <si>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</si>
  <si>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</si>
  <si>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</si>
  <si>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</si>
  <si>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</si>
  <si>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</si>
  <si>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</si>
  <si>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</si>
  <si>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</si>
  <si>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</si>
  <si>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</si>
  <si>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</si>
  <si>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</si>
  <si>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</si>
  <si>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</si>
  <si>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</si>
  <si>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</si>
  <si>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</si>
  <si>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</si>
  <si>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</si>
  <si>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</si>
  <si>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</si>
  <si>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</si>
  <si>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</si>
  <si>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</si>
  <si>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</si>
  <si>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</si>
  <si>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</si>
  <si>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</si>
  <si>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</si>
  <si>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</si>
  <si>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</si>
  <si>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</si>
  <si>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</si>
  <si>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</si>
  <si>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</si>
  <si>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</si>
  <si>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</si>
  <si>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</si>
  <si>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</si>
  <si>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</si>
  <si>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</si>
  <si>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</si>
  <si>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</si>
  <si>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</si>
  <si>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</si>
  <si>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</si>
  <si>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</si>
  <si>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</si>
  <si>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</si>
  <si>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</si>
  <si>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</si>
  <si>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</si>
  <si>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</si>
  <si>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</si>
  <si>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</si>
  <si>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</si>
  <si>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</si>
  <si>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</si>
  <si>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</si>
  <si>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</si>
  <si>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</si>
  <si>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</si>
  <si>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</si>
  <si>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</si>
  <si>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</si>
  <si>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</si>
  <si>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</si>
  <si>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</si>
  <si>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</si>
  <si>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</si>
  <si>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</si>
  <si>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</si>
  <si>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</si>
  <si>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</si>
  <si>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</si>
  <si>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</si>
  <si>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</si>
  <si>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</si>
  <si>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</si>
  <si>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</si>
  <si>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</si>
  <si>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</si>
  <si>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</si>
  <si>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</si>
  <si>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</si>
  <si>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</si>
  <si>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</si>
  <si>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</si>
  <si>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</si>
  <si>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</si>
  <si>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</si>
  <si>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</si>
  <si>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</si>
  <si>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</si>
  <si>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</si>
  <si>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</si>
  <si>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</si>
  <si>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</si>
  <si>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</si>
  <si>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</si>
  <si>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</si>
  <si>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</si>
  <si>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</si>
  <si>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</si>
  <si>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</si>
  <si>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</si>
  <si>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</si>
  <si>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</si>
  <si>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</si>
  <si>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</si>
  <si>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</si>
  <si>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</si>
  <si>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</si>
  <si>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</si>
  <si>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</si>
  <si>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</si>
  <si>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</si>
  <si>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</si>
  <si>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</si>
  <si>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</si>
  <si>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</si>
  <si>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</si>
  <si>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</si>
  <si>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</si>
  <si>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</si>
  <si>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</si>
  <si>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</si>
  <si>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</si>
  <si>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</si>
  <si>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</si>
  <si>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</si>
  <si>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</si>
  <si>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</si>
  <si>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</si>
  <si>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</si>
  <si>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</si>
  <si>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</si>
  <si>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</si>
  <si>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</si>
  <si>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</si>
  <si>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</si>
  <si>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</si>
  <si>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</si>
  <si>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</si>
  <si>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</si>
  <si>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</si>
  <si>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</si>
  <si>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</si>
  <si>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</si>
  <si>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</si>
  <si>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</si>
  <si>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</si>
  <si>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</si>
  <si>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</si>
  <si>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</si>
  <si>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</si>
  <si>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</si>
  <si>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</si>
  <si>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</si>
  <si>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</si>
  <si>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</si>
  <si>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</si>
  <si>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</si>
  <si>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</si>
  <si>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</si>
  <si>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</si>
  <si>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</si>
  <si>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</si>
  <si>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</si>
  <si>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</si>
  <si>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</si>
  <si>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</si>
  <si>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</si>
  <si>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</si>
  <si>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</si>
  <si>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</si>
  <si>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</si>
  <si>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</si>
  <si>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</si>
  <si>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</si>
  <si>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</si>
  <si>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</si>
  <si>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</si>
  <si>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</si>
  <si>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</si>
  <si>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</si>
  <si>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</si>
  <si>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</si>
  <si>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</si>
  <si>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</si>
  <si>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</si>
  <si>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</si>
  <si>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</si>
  <si>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</si>
  <si>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</si>
  <si>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</si>
  <si>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</si>
  <si>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</si>
  <si>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</si>
  <si>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</si>
  <si>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</si>
  <si>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</si>
  <si>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</si>
  <si>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</si>
  <si>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</si>
  <si>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</si>
  <si>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</si>
  <si>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</si>
  <si>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</si>
  <si>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</si>
  <si>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</si>
  <si>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</si>
  <si>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</si>
  <si>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</si>
  <si>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</si>
  <si>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</si>
  <si>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</si>
  <si>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</si>
  <si>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</si>
  <si>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</si>
  <si>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</si>
  <si>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</si>
  <si>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</si>
  <si>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</si>
  <si>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</si>
  <si>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</si>
  <si>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</si>
  <si>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</si>
  <si>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</si>
  <si>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</si>
  <si>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</si>
  <si>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</si>
  <si>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</si>
  <si>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</si>
  <si>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</si>
  <si>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</si>
  <si>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</si>
  <si>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</si>
  <si>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</si>
  <si>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</si>
  <si>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</si>
  <si>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</si>
  <si>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</si>
  <si>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</si>
  <si>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</si>
  <si>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</si>
  <si>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</si>
  <si>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</si>
  <si>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</si>
  <si>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</si>
  <si>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</si>
  <si>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</si>
  <si>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</si>
  <si>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</si>
  <si>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</si>
  <si>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</si>
  <si>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</si>
  <si>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</si>
  <si>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</si>
  <si>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</si>
  <si>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</si>
  <si>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</si>
  <si>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</si>
  <si>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</si>
  <si>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Total Value</t>
  </si>
  <si>
    <t>Pergunta 1 - Qual o faturamento total de vendas, de planos anuais (contento todas as assinaturas agregadas)</t>
  </si>
  <si>
    <t>Pergunta 2 - Qual faturamento total de vendas de planos anuais separado por auto renovação e que não é por auto renovação</t>
  </si>
  <si>
    <t>XBOX GAME PASS SUBSCRIPTIONS SALES</t>
  </si>
  <si>
    <t>(Tudo)</t>
  </si>
  <si>
    <t>Pergunta 3 - Total de Vendas de Asssinaturas do EA Play</t>
  </si>
  <si>
    <t>Soma de EA Play Season Pass</t>
  </si>
  <si>
    <t>Pergunta 4 -  Total de Vendas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</si>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</sst>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 Black"/>
      <family val="2"/>
    </font>
    <font>
      <b/>
      <sz val="15"/>
      <color rgb="FF22C55E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Fill="1" applyBorder="1"/>
    <xf numFmtId="44" fontId="0" fillId="0" borderId="0" xfId="2" applyFont="1"/>
    <xf numFmtId="165" fontId="0" fillId="0" borderId="0" xfId="0" applyNumberFormat="1"/>
    <xf numFmtId="0" fontId="4" fillId="0" borderId="0" xfId="1" applyFont="1" applyFill="1" applyBorder="1"/>
    <xf numFmtId="0" fontId="5" fillId="0" borderId="2" xfId="1" applyFont="1" applyFill="1" applyBorder="1" applyAlignment="1">
      <alignment horizontal="left" indent="3"/>
    </xf>
  </cellXfs>
  <cellStyles count="3">
    <cellStyle name="Moeda" xfId="2" builtinId="4"/>
    <cellStyle name="Normal" xfId="0" builtinId="0"/>
    <cellStyle name="Título 1" xfId="1" builtinId="16"/>
  </cellStyles>
  <dxfs count="27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numFmt numFmtId="165" formatCode="&quot;R$&quot;\ #,##0.00"/>
    </dxf>
    <dxf>
      <font>
        <b/>
        <i val="0"/>
        <color rgb="FFFFFFFF"/>
      </font>
      <border>
        <bottom style="thin">
          <color theme="9"/>
        </bottom>
        <vertical/>
        <horizontal/>
      </border>
    </dxf>
    <dxf>
      <font>
        <b val="0"/>
        <i val="0"/>
        <color rgb="FFFFFFFF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3" xr9:uid="{9FBE6AEF-969D-4420-A440-B692A336F573}">
      <tableStyleElement type="wholeTable" dxfId="8"/>
    </tableStyle>
    <tableStyle name="SlicerStyleLight6 2" pivot="0" table="0" count="10" xr9:uid="{EBD5EA28-6529-44EE-9BF5-D994F18A49B4}">
      <tableStyleElement type="wholeTable" dxfId="12"/>
      <tableStyleElement type="headerRow" dxfId="11"/>
    </tableStyle>
  </tableStyles>
  <colors>
    <mruColors>
      <color rgb="FF22C55E"/>
      <color rgb="FF5BF6A8"/>
      <color rgb="FFFFFFFF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0"/>
            <x14:slicerStyleElement type="hoveredSelectedItemWithData" dxfId="1"/>
          </x14:slicerStyleElements>
        </x14:slicerStyle>
        <x14:slicerStyle name="SlicerStyleLight6 2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UnselectedItemWithNoData" dxfId="3"/>
            <x14:slicerStyleElement type="hoveredSelectedItemWithNoData" dxfId="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E-42C7-9F2B-DA6915154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3886543"/>
        <c:axId val="413886959"/>
      </c:barChart>
      <c:catAx>
        <c:axId val="41388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3886959"/>
        <c:crosses val="autoZero"/>
        <c:auto val="1"/>
        <c:lblAlgn val="ctr"/>
        <c:lblOffset val="100"/>
        <c:noMultiLvlLbl val="0"/>
      </c:catAx>
      <c:valAx>
        <c:axId val="41388695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41388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127738</xdr:colOff>
      <xdr:row>0</xdr:row>
      <xdr:rowOff>161781</xdr:rowOff>
    </xdr:from>
    <xdr:to>
      <xdr:col>2</xdr:col>
      <xdr:colOff>352451</xdr:colOff>
      <xdr:row>2</xdr:row>
      <xdr:rowOff>24551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6A88F3-19A1-4E8D-A138-3A364CAAD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69" t="21990" r="73396" b="26700"/>
        <a:stretch/>
      </xdr:blipFill>
      <xdr:spPr>
        <a:xfrm>
          <a:off x="1973820" y="161781"/>
          <a:ext cx="499662" cy="491224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11906</xdr:colOff>
      <xdr:row>7</xdr:row>
      <xdr:rowOff>46744</xdr:rowOff>
    </xdr:from>
    <xdr:to>
      <xdr:col>0</xdr:col>
      <xdr:colOff>1828800</xdr:colOff>
      <xdr:row>12</xdr:row>
      <xdr:rowOff>112486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48A6CAB-414B-4245-A296-75F7792785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348785"/>
              <a:ext cx="1816894" cy="1219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180975</xdr:colOff>
      <xdr:row>5</xdr:row>
      <xdr:rowOff>28280</xdr:rowOff>
    </xdr:from>
    <xdr:to>
      <xdr:col>7</xdr:col>
      <xdr:colOff>190500</xdr:colOff>
      <xdr:row>10</xdr:row>
      <xdr:rowOff>152106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C97D5E6-D91E-4406-8594-F484369FF293}"/>
            </a:ext>
          </a:extLst>
        </xdr:cNvPr>
        <xdr:cNvGrpSpPr/>
      </xdr:nvGrpSpPr>
      <xdr:grpSpPr>
        <a:xfrm>
          <a:off x="2024805" y="1076904"/>
          <a:ext cx="3697186" cy="1163711"/>
          <a:chOff x="2028825" y="1076325"/>
          <a:chExt cx="3714750" cy="116205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4D9259B-BEAB-4D95-8F50-A007F2A0CA1C}"/>
              </a:ext>
            </a:extLst>
          </xdr:cNvPr>
          <xdr:cNvSpPr/>
        </xdr:nvSpPr>
        <xdr:spPr>
          <a:xfrm>
            <a:off x="2028825" y="1076325"/>
            <a:ext cx="3600450" cy="1076325"/>
          </a:xfrm>
          <a:prstGeom prst="roundRect">
            <a:avLst>
              <a:gd name="adj" fmla="val 6048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C2B68B8-300B-46CC-AB48-A9C39548E90B}"/>
              </a:ext>
            </a:extLst>
          </xdr:cNvPr>
          <xdr:cNvSpPr/>
        </xdr:nvSpPr>
        <xdr:spPr>
          <a:xfrm>
            <a:off x="2905125" y="1343027"/>
            <a:ext cx="2838450" cy="742948"/>
          </a:xfrm>
          <a:prstGeom prst="roundRect">
            <a:avLst>
              <a:gd name="adj" fmla="val 6048"/>
            </a:avLst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 b="0" i="0" u="none" strike="noStrike">
                <a:ln>
                  <a:noFill/>
                </a:ln>
                <a:solidFill>
                  <a:srgbClr val="5BF6A8"/>
                </a:solidFill>
                <a:latin typeface="Aptos Narrow"/>
              </a:rPr>
              <a:t>     </a:t>
            </a:r>
            <a:fld id="{89E40641-E113-462F-B365-AA5A8E1411F0}" type="TxLink">
              <a:rPr lang="en-US" sz="3200" b="0" i="0" u="none" strike="noStrike">
                <a:ln>
                  <a:noFill/>
                </a:ln>
                <a:solidFill>
                  <a:srgbClr val="5BF6A8"/>
                </a:solidFill>
                <a:latin typeface="Aptos Narrow"/>
              </a:rPr>
              <a:t> R$ 2.940,00 </a:t>
            </a:fld>
            <a:endParaRPr lang="pt-BR" sz="3200">
              <a:ln>
                <a:noFill/>
              </a:ln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5F5F28F9-79CC-4621-A717-2135CDFA82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05025" y="1085850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F6E882B-A278-4E73-A5BD-EE8058E661BE}"/>
              </a:ext>
            </a:extLst>
          </xdr:cNvPr>
          <xdr:cNvSpPr/>
        </xdr:nvSpPr>
        <xdr:spPr>
          <a:xfrm>
            <a:off x="2028826" y="1076326"/>
            <a:ext cx="3600450" cy="2476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 SUBSCRIPTIONS EA PLAY SEASON PASS</a:t>
            </a:r>
          </a:p>
        </xdr:txBody>
      </xdr:sp>
    </xdr:grpSp>
    <xdr:clientData/>
  </xdr:twoCellAnchor>
  <xdr:twoCellAnchor editAs="absolute">
    <xdr:from>
      <xdr:col>7</xdr:col>
      <xdr:colOff>485775</xdr:colOff>
      <xdr:row>5</xdr:row>
      <xdr:rowOff>28280</xdr:rowOff>
    </xdr:from>
    <xdr:to>
      <xdr:col>13</xdr:col>
      <xdr:colOff>69850</xdr:colOff>
      <xdr:row>10</xdr:row>
      <xdr:rowOff>66381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626B707-D9F4-423A-9FF7-8DA91CBA7AA6}"/>
            </a:ext>
          </a:extLst>
        </xdr:cNvPr>
        <xdr:cNvGrpSpPr/>
      </xdr:nvGrpSpPr>
      <xdr:grpSpPr>
        <a:xfrm>
          <a:off x="6017266" y="1076904"/>
          <a:ext cx="3673708" cy="1077986"/>
          <a:chOff x="6038850" y="1076325"/>
          <a:chExt cx="3676650" cy="107632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46787108-6722-4B76-9799-78E9FA54E6F7}"/>
              </a:ext>
            </a:extLst>
          </xdr:cNvPr>
          <xdr:cNvGrpSpPr/>
        </xdr:nvGrpSpPr>
        <xdr:grpSpPr>
          <a:xfrm>
            <a:off x="6038850" y="1076325"/>
            <a:ext cx="3676650" cy="1076325"/>
            <a:chOff x="2028825" y="1076325"/>
            <a:chExt cx="3676650" cy="107632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7E08EA3C-CD8D-4F41-949F-04BA955D079A}"/>
                </a:ext>
              </a:extLst>
            </xdr:cNvPr>
            <xdr:cNvSpPr/>
          </xdr:nvSpPr>
          <xdr:spPr>
            <a:xfrm>
              <a:off x="2028825" y="1076325"/>
              <a:ext cx="3600450" cy="1076325"/>
            </a:xfrm>
            <a:prstGeom prst="roundRect">
              <a:avLst>
                <a:gd name="adj" fmla="val 6048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29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448AAF9E-43EC-46ED-B9A6-F0B529DAC0AB}"/>
                </a:ext>
              </a:extLst>
            </xdr:cNvPr>
            <xdr:cNvSpPr/>
          </xdr:nvSpPr>
          <xdr:spPr>
            <a:xfrm>
              <a:off x="3286125" y="1314452"/>
              <a:ext cx="2419350" cy="742948"/>
            </a:xfrm>
            <a:prstGeom prst="roundRect">
              <a:avLst>
                <a:gd name="adj" fmla="val 6048"/>
              </a:avLst>
            </a:prstGeom>
            <a:noFill/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fld id="{C0B2F019-D5B4-4D1C-8B03-7F0147CB2686}" type="TxLink">
                <a:rPr lang="en-US" sz="3200" b="0" i="0" u="none" strike="noStrike">
                  <a:ln>
                    <a:noFill/>
                  </a:ln>
                  <a:solidFill>
                    <a:srgbClr val="5BF6A8"/>
                  </a:solidFill>
                  <a:latin typeface="Aptos Narrow"/>
                </a:rPr>
                <a:t> R$ 3.880,00 </a:t>
              </a:fld>
              <a:endParaRPr lang="pt-BR" sz="3200">
                <a:ln>
                  <a:noFill/>
                </a:ln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8DA149EE-CE09-4C43-B893-D97DE0B3A54D}"/>
                </a:ext>
              </a:extLst>
            </xdr:cNvPr>
            <xdr:cNvSpPr/>
          </xdr:nvSpPr>
          <xdr:spPr>
            <a:xfrm>
              <a:off x="2028826" y="1076326"/>
              <a:ext cx="3604961" cy="2476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rPr>
                <a:t> SUBSCRIPTIONS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0021114-C179-47D1-AFDB-E50579AE5ADA}"/>
              </a:ext>
            </a:extLst>
          </xdr:cNvPr>
          <xdr:cNvGrpSpPr/>
        </xdr:nvGrpSpPr>
        <xdr:grpSpPr>
          <a:xfrm>
            <a:off x="6229350" y="1390650"/>
            <a:ext cx="942975" cy="49530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B900242E-BF02-4899-8057-5F301C3236C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9EA7AD2-6235-4A01-88F1-30514ED475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180974</xdr:colOff>
      <xdr:row>11</xdr:row>
      <xdr:rowOff>123529</xdr:rowOff>
    </xdr:from>
    <xdr:to>
      <xdr:col>13</xdr:col>
      <xdr:colOff>327025</xdr:colOff>
      <xdr:row>29</xdr:row>
      <xdr:rowOff>19044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0CE4978-FEFA-49FD-9E0B-C66EEE210C50}"/>
            </a:ext>
          </a:extLst>
        </xdr:cNvPr>
        <xdr:cNvGrpSpPr/>
      </xdr:nvGrpSpPr>
      <xdr:grpSpPr>
        <a:xfrm>
          <a:off x="2024804" y="2395547"/>
          <a:ext cx="7923345" cy="3198680"/>
          <a:chOff x="2028824" y="2390774"/>
          <a:chExt cx="7943851" cy="2619376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927388C-CDF0-4A27-96B2-B979862DDB42}"/>
              </a:ext>
            </a:extLst>
          </xdr:cNvPr>
          <xdr:cNvGrpSpPr/>
        </xdr:nvGrpSpPr>
        <xdr:grpSpPr>
          <a:xfrm>
            <a:off x="2028825" y="2390775"/>
            <a:ext cx="7943850" cy="2619375"/>
            <a:chOff x="2095500" y="1143000"/>
            <a:chExt cx="3819525" cy="220027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B977FC7-344F-474E-BC73-C4A483964A11}"/>
                </a:ext>
              </a:extLst>
            </xdr:cNvPr>
            <xdr:cNvSpPr/>
          </xdr:nvSpPr>
          <xdr:spPr>
            <a:xfrm>
              <a:off x="2095500" y="1143000"/>
              <a:ext cx="3679484" cy="2019300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AA1E36F-C799-4992-B827-6B7D9C22E4A5}"/>
                </a:ext>
              </a:extLst>
            </xdr:cNvPr>
            <xdr:cNvGraphicFramePr>
              <a:graphicFrameLocks/>
            </xdr:cNvGraphicFramePr>
          </xdr:nvGraphicFramePr>
          <xdr:xfrm>
            <a:off x="2171698" y="1276350"/>
            <a:ext cx="3743327" cy="20669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F510F691-9636-45B4-BF4F-3B85792CBDE7}"/>
              </a:ext>
            </a:extLst>
          </xdr:cNvPr>
          <xdr:cNvSpPr/>
        </xdr:nvSpPr>
        <xdr:spPr>
          <a:xfrm>
            <a:off x="2028824" y="2390774"/>
            <a:ext cx="7648575" cy="447675"/>
          </a:xfrm>
          <a:prstGeom prst="round2SameRect">
            <a:avLst>
              <a:gd name="adj1" fmla="val 33688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  <xdr:twoCellAnchor editAs="absolute">
    <xdr:from>
      <xdr:col>0</xdr:col>
      <xdr:colOff>547515</xdr:colOff>
      <xdr:row>1</xdr:row>
      <xdr:rowOff>36076</xdr:rowOff>
    </xdr:from>
    <xdr:to>
      <xdr:col>0</xdr:col>
      <xdr:colOff>1182515</xdr:colOff>
      <xdr:row>2</xdr:row>
      <xdr:rowOff>130460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2BF0E552-5F57-46B8-A016-CC3C26E83F7D}"/>
            </a:ext>
          </a:extLst>
        </xdr:cNvPr>
        <xdr:cNvSpPr/>
      </xdr:nvSpPr>
      <xdr:spPr>
        <a:xfrm>
          <a:off x="547515" y="212829"/>
          <a:ext cx="635000" cy="54608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88376</xdr:colOff>
      <xdr:row>3</xdr:row>
      <xdr:rowOff>0</xdr:rowOff>
    </xdr:from>
    <xdr:to>
      <xdr:col>0</xdr:col>
      <xdr:colOff>1747887</xdr:colOff>
      <xdr:row>5</xdr:row>
      <xdr:rowOff>88376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FD8219F-3C68-45EE-A868-5C4F7720C729}"/>
            </a:ext>
          </a:extLst>
        </xdr:cNvPr>
        <xdr:cNvSpPr/>
      </xdr:nvSpPr>
      <xdr:spPr>
        <a:xfrm>
          <a:off x="88376" y="844485"/>
          <a:ext cx="1659511" cy="294587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Bem</a:t>
          </a:r>
          <a:r>
            <a:rPr lang="pt-BR" sz="1200" b="1" baseline="0"/>
            <a:t> Vindo Julio</a:t>
          </a:r>
          <a:endParaRPr lang="pt-BR" sz="1200" b="1"/>
        </a:p>
      </xdr:txBody>
    </xdr:sp>
    <xdr:clientData/>
  </xdr:twoCellAnchor>
  <xdr:twoCellAnchor editAs="absolute">
    <xdr:from>
      <xdr:col>1</xdr:col>
      <xdr:colOff>611</xdr:colOff>
      <xdr:row>2</xdr:row>
      <xdr:rowOff>68736</xdr:rowOff>
    </xdr:from>
    <xdr:to>
      <xdr:col>7</xdr:col>
      <xdr:colOff>274946</xdr:colOff>
      <xdr:row>4</xdr:row>
      <xdr:rowOff>39277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01EE7DD9-9A7E-4205-AADB-CAC91922315A}"/>
            </a:ext>
          </a:extLst>
        </xdr:cNvPr>
        <xdr:cNvSpPr/>
      </xdr:nvSpPr>
      <xdr:spPr>
        <a:xfrm>
          <a:off x="1846080" y="697190"/>
          <a:ext cx="3986753" cy="2945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2">
                  <a:lumMod val="50000"/>
                </a:schemeClr>
              </a:solidFill>
            </a:rPr>
            <a:t>Período</a:t>
          </a:r>
          <a:r>
            <a:rPr lang="pt-BR" sz="1000" b="0" baseline="0">
              <a:solidFill>
                <a:schemeClr val="bg2">
                  <a:lumMod val="50000"/>
                </a:schemeClr>
              </a:solidFill>
            </a:rPr>
            <a:t> de apuração 01/01/2024 à 31/12/2024 I Update </a:t>
          </a:r>
          <a:r>
            <a:rPr lang="pt-BR" sz="1050" b="0" baseline="0">
              <a:solidFill>
                <a:schemeClr val="bg2">
                  <a:lumMod val="50000"/>
                </a:schemeClr>
              </a:solidFill>
            </a:rPr>
            <a:t>14/09/2026</a:t>
          </a:r>
          <a:r>
            <a:rPr lang="pt-BR" sz="1000" b="0" baseline="0">
              <a:solidFill>
                <a:schemeClr val="bg2">
                  <a:lumMod val="50000"/>
                </a:schemeClr>
              </a:solidFill>
            </a:rPr>
            <a:t> </a:t>
          </a:r>
          <a:endParaRPr lang="pt-BR" sz="1000" b="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n" refreshedDate="46273.426505439813" createdVersion="7" refreshedVersion="7" minRefreshableVersion="3" recordCount="295" xr:uid="{E0777CF5-6199-4519-B16C-2A524421A08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772750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424CF-93F3-42F8-80BF-B09279D1BE77}" name="Tabela dinâmica2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Plan">
  <location ref="B29:C3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2DD61-E445-4CA2-9C46-049F032D0997}" name="tbl_EAPlay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Plan">
  <location ref="B19:C2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04058-F091-4BFE-AFD3-349A924691AC}" name="tbl_anual_total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uto Renewal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2">
    <format dxfId="10">
      <pivotArea collapsedLevelsAreSubtotals="1" fieldPosition="0">
        <references count="1">
          <reference field="4" count="1">
            <x v="0"/>
          </reference>
        </references>
      </pivotArea>
    </format>
    <format dxfId="9">
      <pivotArea collapsedLevelsAreSubtotals="1" fieldPosition="0">
        <references count="1">
          <reference field="4" count="1">
            <x v="1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B05598E-B44B-4225-8832-29D5A151A64C}" sourceName="Subscription Type">
  <pivotTables>
    <pivotTable tabId="3" name="tbl_anual_total"/>
    <pivotTable tabId="3" name="tbl_EAPlay"/>
    <pivotTable tabId="3" name="Tabela dinâmica2"/>
  </pivotTables>
  <data>
    <tabular pivotCacheId="27727501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FEE1C18-999C-4EAC-B242-E73A336FCD0A}" cache="SegmentaçãodeDados_Subscription_Type" caption="Subscription Type" style="Estilo de Segmentação de Dados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5"/>
    <tableColumn id="2" xr3:uid="{53DD39D0-2220-4121-9E9D-4EAA7E151C0F}" name="Name" dataDxfId="24"/>
    <tableColumn id="3" xr3:uid="{4F5FF271-4C57-4BE0-8F2C-F82C8551625C}" name="Plan" dataDxfId="23"/>
    <tableColumn id="4" xr3:uid="{8C17EB93-79B9-4E55-B8F7-BEB82F8253E9}" name="Start Date" dataDxfId="22"/>
    <tableColumn id="5" xr3:uid="{48CEDF9B-1689-482A-A828-5CCE7713264A}" name="Auto Renewal" dataDxfId="21"/>
    <tableColumn id="6" xr3:uid="{78B82374-9AA7-4E38-AE4F-78CDE6C83720}" name="Subscription Price" dataDxfId="20" dataCellStyle="Moeda"/>
    <tableColumn id="7" xr3:uid="{F2433F68-AF33-49D0-B1FB-19A396074EDE}" name="Subscription Type" dataDxfId="19"/>
    <tableColumn id="8" xr3:uid="{FD4D9C95-F6E5-4933-9068-A71FF7DF9343}" name="EA Play Season Pass" dataDxfId="18"/>
    <tableColumn id="13" xr3:uid="{978DD0D2-834E-4CE4-A39B-30976086932F}" name="EA Play Season Pass_x000a_Price" dataDxfId="17" dataCellStyle="Moeda"/>
    <tableColumn id="9" xr3:uid="{6E29F111-C395-4580-9DAD-3407D9E8B1A4}" name="Minecraft Season Pass" dataDxfId="16"/>
    <tableColumn id="10" xr3:uid="{EF544EAA-7F25-4FD5-A10E-8E62804DB9E3}" name="Minecraft Season Pass Price" dataDxfId="15" dataCellStyle="Moeda"/>
    <tableColumn id="11" xr3:uid="{7F6EB64A-1F07-4E48-9F0F-AC7D9DCD26F8}" name="Coupon Value" dataDxfId="14" dataCellStyle="Moeda"/>
    <tableColumn id="12" xr3:uid="{2B04ABC8-DE6F-426E-ADC0-D8AFC68CA58E}" name="Total Value" dataDxfId="1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3"/>
  <sheetViews>
    <sheetView showGridLines="0" workbookViewId="0">
      <selection activeCell="C10" sqref="C10"/>
    </sheetView>
  </sheetViews>
  <sheetFormatPr defaultRowHeight="14.25"/>
  <cols>
    <col min="2" max="2" width="10.75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3">
      <c r="B2" t="s">
        <v>315</v>
      </c>
    </row>
    <row r="3" spans="2:3">
      <c r="B3" t="s">
        <v>316</v>
      </c>
    </row>
    <row r="6" spans="2:3">
      <c r="B6" s="13" t="s">
        <v>16</v>
      </c>
      <c r="C6" t="s">
        <v>318</v>
      </c>
    </row>
    <row r="8" spans="2:3">
      <c r="B8" s="13" t="s">
        <v>15</v>
      </c>
      <c r="C8" t="s">
        <v>314</v>
      </c>
    </row>
    <row r="9" spans="2:3">
      <c r="B9" s="14" t="s">
        <v>23</v>
      </c>
      <c r="C9" s="17">
        <v>3847</v>
      </c>
    </row>
    <row r="10" spans="2:3">
      <c r="B10" s="14" t="s">
        <v>19</v>
      </c>
      <c r="C10" s="17">
        <v>3786</v>
      </c>
    </row>
    <row r="11" spans="2:3">
      <c r="B11" s="14" t="s">
        <v>313</v>
      </c>
      <c r="C11" s="12">
        <v>7633</v>
      </c>
    </row>
    <row r="15" spans="2:3">
      <c r="B15" t="s">
        <v>319</v>
      </c>
    </row>
    <row r="19" spans="2:4">
      <c r="B19" s="13" t="s">
        <v>13</v>
      </c>
      <c r="C19" t="s">
        <v>320</v>
      </c>
    </row>
    <row r="20" spans="2:4">
      <c r="B20" s="14" t="s">
        <v>22</v>
      </c>
      <c r="C20" s="12">
        <v>0</v>
      </c>
    </row>
    <row r="21" spans="2:4">
      <c r="B21" s="14" t="s">
        <v>26</v>
      </c>
      <c r="C21" s="12">
        <v>0</v>
      </c>
    </row>
    <row r="22" spans="2:4">
      <c r="B22" s="14" t="s">
        <v>18</v>
      </c>
      <c r="C22" s="12">
        <v>2940</v>
      </c>
    </row>
    <row r="23" spans="2:4">
      <c r="B23" s="14" t="s">
        <v>313</v>
      </c>
      <c r="C23" s="12">
        <v>2940</v>
      </c>
      <c r="D23" s="16">
        <f>GETPIVOTDATA("EA Play Season Pass
Price",$B$19)</f>
        <v>2940</v>
      </c>
    </row>
    <row r="26" spans="2:4">
      <c r="B26" s="14" t="s">
        <v>321</v>
      </c>
    </row>
    <row r="29" spans="2:4">
      <c r="B29" s="13" t="s">
        <v>13</v>
      </c>
      <c r="C29" t="s">
        <v>322</v>
      </c>
      <c r="D29" s="16">
        <f>GETPIVOTDATA("Minecraft Season Pass Price",$B$29)</f>
        <v>3880</v>
      </c>
    </row>
    <row r="30" spans="2:4">
      <c r="B30" s="14" t="s">
        <v>22</v>
      </c>
      <c r="C30" s="12">
        <v>0</v>
      </c>
    </row>
    <row r="31" spans="2:4">
      <c r="B31" s="14" t="s">
        <v>26</v>
      </c>
      <c r="C31" s="12">
        <v>1920</v>
      </c>
    </row>
    <row r="32" spans="2:4">
      <c r="B32" s="14" t="s">
        <v>18</v>
      </c>
      <c r="C32" s="12">
        <v>1960</v>
      </c>
    </row>
    <row r="33" spans="2:3">
      <c r="B33" s="14" t="s">
        <v>313</v>
      </c>
      <c r="C33" s="12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240"/>
  <sheetViews>
    <sheetView showGridLines="0" showRowColHeaders="0" tabSelected="1" zoomScale="109" zoomScaleNormal="100" workbookViewId="0">
      <selection activeCell="R10" sqref="R10"/>
    </sheetView>
  </sheetViews>
  <sheetFormatPr defaultRowHeight="14.25"/>
  <cols>
    <col min="1" max="1" width="24.25" style="4" customWidth="1"/>
    <col min="2" max="2" width="3.625" customWidth="1"/>
    <col min="12" max="12" width="6.625" customWidth="1"/>
    <col min="13" max="13" width="11.25" customWidth="1"/>
  </cols>
  <sheetData>
    <row r="2" spans="1:17" ht="35.25" customHeight="1" thickBot="1">
      <c r="C2" s="19" t="s">
        <v>317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8"/>
      <c r="O2" s="18"/>
      <c r="P2" s="18"/>
      <c r="Q2" s="18"/>
    </row>
    <row r="3" spans="1:17" ht="17.25" customHeight="1" thickTop="1"/>
    <row r="4" spans="1:17" s="7" customFormat="1" ht="8.25" customHeight="1">
      <c r="A4" s="4"/>
    </row>
    <row r="5" spans="1:17" s="7" customFormat="1" ht="7.5" customHeight="1">
      <c r="A5" s="4"/>
    </row>
    <row r="6" spans="1:17" s="7" customFormat="1" ht="10.5" customHeight="1">
      <c r="A6" s="4"/>
    </row>
    <row r="7" spans="1:17" s="7" customFormat="1" ht="9.75" customHeight="1">
      <c r="A7" s="4"/>
    </row>
    <row r="8" spans="1:17" s="7" customFormat="1" ht="33" customHeight="1">
      <c r="A8" s="4"/>
    </row>
    <row r="9" spans="1:17" s="7" customFormat="1">
      <c r="A9" s="4"/>
    </row>
    <row r="10" spans="1:17" s="7" customFormat="1">
      <c r="A10" s="4"/>
    </row>
    <row r="11" spans="1:17" s="7" customFormat="1">
      <c r="A11" s="4"/>
    </row>
    <row r="12" spans="1:17" s="7" customFormat="1">
      <c r="A12" s="4"/>
    </row>
    <row r="13" spans="1:17" s="7" customFormat="1">
      <c r="A13" s="4"/>
    </row>
    <row r="14" spans="1:17" s="7" customFormat="1">
      <c r="A14" s="4"/>
    </row>
    <row r="15" spans="1:17" s="7" customFormat="1">
      <c r="A15" s="4"/>
    </row>
    <row r="16" spans="1:17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peenascimento52@gmail.com</cp:lastModifiedBy>
  <dcterms:created xsi:type="dcterms:W3CDTF">2024-12-19T13:13:10Z</dcterms:created>
  <dcterms:modified xsi:type="dcterms:W3CDTF">2026-09-14T12:44:44Z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